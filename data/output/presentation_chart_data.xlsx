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ascaravelli/Documents/GitHub/Congress_stock_analysis/data/output/"/>
    </mc:Choice>
  </mc:AlternateContent>
  <xr:revisionPtr revIDLastSave="0" documentId="13_ncr:1_{26E0FA6B-F074-5E46-8E53-7A23DE111A80}" xr6:coauthVersionLast="47" xr6:coauthVersionMax="47" xr10:uidLastSave="{00000000-0000-0000-0000-000000000000}"/>
  <bookViews>
    <workbookView xWindow="0" yWindow="760" windowWidth="29400" windowHeight="18360" firstSheet="4" activeTab="8" xr2:uid="{00000000-000D-0000-FFFF-FFFF00000000}"/>
  </bookViews>
  <sheets>
    <sheet name="S4_TopWorstPoliticians_TopPolit" sheetId="1" r:id="rId1"/>
    <sheet name="S4_TopWorstPoliticians_WorstPol" sheetId="2" r:id="rId2"/>
    <sheet name="S5_PerformanceOverTime_TimeTren" sheetId="3" r:id="rId3"/>
    <sheet name="S6_EDA_DemRep" sheetId="4" r:id="rId4"/>
    <sheet name="S6_EDA_DisclosureDelay" sheetId="5" r:id="rId5"/>
    <sheet name="S6_EDA_IndustryTier" sheetId="6" r:id="rId6"/>
    <sheet name="S7_CommitteeCAR_CommitteeCatego" sheetId="7" r:id="rId7"/>
    <sheet name="S7_CommitteeCAR_StructuralFlags" sheetId="8" r:id="rId8"/>
    <sheet name="S8_ModelAccuracy_ThresholdSweep" sheetId="9" r:id="rId9"/>
    <sheet name="S8_ModelAccuracy_ConfusionMatri" sheetId="10" r:id="rId10"/>
    <sheet name="S9_FeatureImportance_ThresholdC" sheetId="11" r:id="rId11"/>
    <sheet name="S10_Conclusions_FeatureImportan" sheetId="12" r:id="rId12"/>
    <sheet name="S11_ThresholdChart_FeatureImpor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3" l="1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6" i="3"/>
</calcChain>
</file>

<file path=xl/sharedStrings.xml><?xml version="1.0" encoding="utf-8"?>
<sst xmlns="http://schemas.openxmlformats.org/spreadsheetml/2006/main" count="317" uniqueCount="124">
  <si>
    <t>Category</t>
  </si>
  <si>
    <t>Median CAR %</t>
  </si>
  <si>
    <t>Hit Rate %</t>
  </si>
  <si>
    <t>John F. Reed  (n=63)</t>
  </si>
  <si>
    <t>Bradley S. Schneider  (n=22)</t>
  </si>
  <si>
    <t>Suzan K. Delbene  (n=21)</t>
  </si>
  <si>
    <t>David P. Joyce  (n=51)</t>
  </si>
  <si>
    <t>John Boozman  (n=45)</t>
  </si>
  <si>
    <t>Victoria Spartz  (n=20)</t>
  </si>
  <si>
    <t>Donald Sternoff Beyer Jr  (n=299)</t>
  </si>
  <si>
    <t>Mo Brooks  (n=24)</t>
  </si>
  <si>
    <t>Dan Sullivan  (n=35)</t>
  </si>
  <si>
    <t>Debbie Wasserman Schultz  (n=20)</t>
  </si>
  <si>
    <t>Austin Scott  (n=35)</t>
  </si>
  <si>
    <t>Mrs. Marjorie Taylor Greene  (n=22)</t>
  </si>
  <si>
    <t>Tom Malinowski  (n=104)</t>
  </si>
  <si>
    <t>C. Scott Franklin  (n=26)</t>
  </si>
  <si>
    <t>James Comer  (n=27)</t>
  </si>
  <si>
    <t>Michael Patrick Guest  (n=43)</t>
  </si>
  <si>
    <t>Carol Devine Miller  (n=55)</t>
  </si>
  <si>
    <t>Daniel Goldman  (n=307)</t>
  </si>
  <si>
    <t>Daniel Meuser  (n=26)</t>
  </si>
  <si>
    <t>Patrick Fallon  (n=57)</t>
  </si>
  <si>
    <t>Trade Volume</t>
  </si>
  <si>
    <t>% Positive</t>
  </si>
  <si>
    <t>2015Q1</t>
  </si>
  <si>
    <t>2016Q1</t>
  </si>
  <si>
    <t>2017Q1</t>
  </si>
  <si>
    <t>2018Q1</t>
  </si>
  <si>
    <t>2019Q1</t>
  </si>
  <si>
    <t>2020Q1</t>
  </si>
  <si>
    <t>2021Q1</t>
  </si>
  <si>
    <t>2022Q1</t>
  </si>
  <si>
    <t>2023Q1</t>
  </si>
  <si>
    <t>2024Q1</t>
  </si>
  <si>
    <t>2025Q1</t>
  </si>
  <si>
    <t>Series 1</t>
  </si>
  <si>
    <t>Democrat</t>
  </si>
  <si>
    <t>Republican</t>
  </si>
  <si>
    <t>0-10d</t>
  </si>
  <si>
    <t>10-20d</t>
  </si>
  <si>
    <t>20-30d</t>
  </si>
  <si>
    <t>30-40d</t>
  </si>
  <si>
    <t>40-45d</t>
  </si>
  <si>
    <t>45-50d</t>
  </si>
  <si>
    <t>50d+</t>
  </si>
  <si>
    <t>No Match</t>
  </si>
  <si>
    <t>Tier 1 (Tangential)</t>
  </si>
  <si>
    <t>Tier 2 (Oversight)</t>
  </si>
  <si>
    <t>Tier 3 (Direct)</t>
  </si>
  <si>
    <t>Defense &amp; Security</t>
  </si>
  <si>
    <t>Finance &amp; Housing</t>
  </si>
  <si>
    <t>Fiscal Policy</t>
  </si>
  <si>
    <t>Energy &amp; Environment</t>
  </si>
  <si>
    <t>Health &amp; Labor</t>
  </si>
  <si>
    <t>Commerce &amp; Tech</t>
  </si>
  <si>
    <t>Agriculture</t>
  </si>
  <si>
    <t>Infrastructure</t>
  </si>
  <si>
    <t>Oversight</t>
  </si>
  <si>
    <t>Committee Chair</t>
  </si>
  <si>
    <t>Majority Party</t>
  </si>
  <si>
    <t>Lobbied (90d)</t>
  </si>
  <si>
    <t>50%</t>
  </si>
  <si>
    <t>55%</t>
  </si>
  <si>
    <t>60%</t>
  </si>
  <si>
    <t>65%</t>
  </si>
  <si>
    <t>70%</t>
  </si>
  <si>
    <t>75%</t>
  </si>
  <si>
    <t>80%</t>
  </si>
  <si>
    <t>85%</t>
  </si>
  <si>
    <t>90%</t>
  </si>
  <si>
    <t>95%</t>
  </si>
  <si>
    <t>Series 2</t>
  </si>
  <si>
    <t>Series 3</t>
  </si>
  <si>
    <t>N Trades</t>
  </si>
  <si>
    <t>% Positive (base 44.5%)</t>
  </si>
  <si>
    <t>Median CAR % (base -1.9%)</t>
  </si>
  <si>
    <t>Member of Finance &amp; Housing committee</t>
  </si>
  <si>
    <t>Other politicians selling same stock (30d)</t>
  </si>
  <si>
    <t>Tier-2 committee–industry overlap</t>
  </si>
  <si>
    <t>Member of Energy &amp; Environment committee</t>
  </si>
  <si>
    <t>Politician's past avg. return (realized)</t>
  </si>
  <si>
    <t>House vs Senate</t>
  </si>
  <si>
    <t>Tier-1 committee–industry overlap</t>
  </si>
  <si>
    <t>Member of Oversight committee</t>
  </si>
  <si>
    <t>Tier-3 committee–industry overlap</t>
  </si>
  <si>
    <t>Company had active lobbying (90d)</t>
  </si>
  <si>
    <t>2015Q2</t>
  </si>
  <si>
    <t>2015Q3</t>
  </si>
  <si>
    <t>2015Q4</t>
  </si>
  <si>
    <t>2016Q2</t>
  </si>
  <si>
    <t>2016Q3</t>
  </si>
  <si>
    <t>2016Q4</t>
  </si>
  <si>
    <t>Q1</t>
  </si>
  <si>
    <t>Q2</t>
  </si>
  <si>
    <t>Q3</t>
  </si>
  <si>
    <t>Q4</t>
  </si>
  <si>
    <t>2017Q2</t>
  </si>
  <si>
    <t>2017Q3</t>
  </si>
  <si>
    <t>2017Q4</t>
  </si>
  <si>
    <t>2018Q2</t>
  </si>
  <si>
    <t>2018Q3</t>
  </si>
  <si>
    <t>2018Q4</t>
  </si>
  <si>
    <t>2019Q2</t>
  </si>
  <si>
    <t>2019Q3</t>
  </si>
  <si>
    <t>2019Q4</t>
  </si>
  <si>
    <t>2020Q2</t>
  </si>
  <si>
    <t>2020Q3</t>
  </si>
  <si>
    <t>2020Q4</t>
  </si>
  <si>
    <t>2021Q2</t>
  </si>
  <si>
    <t>2021Q3</t>
  </si>
  <si>
    <t>2021Q4</t>
  </si>
  <si>
    <t>2022Q2</t>
  </si>
  <si>
    <t>2022Q3</t>
  </si>
  <si>
    <t>2022Q4</t>
  </si>
  <si>
    <t>2023Q2</t>
  </si>
  <si>
    <t>2023Q3</t>
  </si>
  <si>
    <t>2023Q4</t>
  </si>
  <si>
    <t>2024Q2</t>
  </si>
  <si>
    <t>2024Q3</t>
  </si>
  <si>
    <t>2024Q4</t>
  </si>
  <si>
    <t>2025Q2</t>
  </si>
  <si>
    <t>2025Q3</t>
  </si>
  <si>
    <t>2025Q4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</si>
</sst>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workbookViewId="0">
      <selection activeCell="B43" sqref="B43"/>
    </sheetView>
  </sheetViews>
  <sheetFormatPr baseColWidth="10" defaultColWidth="8.83203125" defaultRowHeight="15" x14ac:dyDescent="0.2"/>
  <cols>
    <col min="1" max="1" width="35" customWidth="1"/>
    <col min="2" max="2" width="20" customWidth="1"/>
    <col min="3" max="3" width="19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3</v>
      </c>
      <c r="B2">
        <v>1.76606637607269</v>
      </c>
      <c r="C2">
        <v>63.492063492063487</v>
      </c>
    </row>
    <row r="3" spans="1:3" x14ac:dyDescent="0.2">
      <c r="A3" t="s">
        <v>4</v>
      </c>
      <c r="B3">
        <v>2.2794268153701349</v>
      </c>
      <c r="C3">
        <v>68.181818181818173</v>
      </c>
    </row>
    <row r="4" spans="1:3" x14ac:dyDescent="0.2">
      <c r="A4" t="s">
        <v>5</v>
      </c>
      <c r="B4">
        <v>2.4759315986705901</v>
      </c>
      <c r="C4">
        <v>80.952380952380949</v>
      </c>
    </row>
    <row r="5" spans="1:3" x14ac:dyDescent="0.2">
      <c r="A5" t="s">
        <v>6</v>
      </c>
      <c r="B5">
        <v>2.4843579057510601</v>
      </c>
      <c r="C5">
        <v>68.627450980392155</v>
      </c>
    </row>
    <row r="6" spans="1:3" x14ac:dyDescent="0.2">
      <c r="A6" t="s">
        <v>7</v>
      </c>
      <c r="B6">
        <v>2.7312464327280201</v>
      </c>
      <c r="C6">
        <v>75.555555555555557</v>
      </c>
    </row>
    <row r="7" spans="1:3" x14ac:dyDescent="0.2">
      <c r="A7" t="s">
        <v>8</v>
      </c>
      <c r="B7">
        <v>4.1972005259422307</v>
      </c>
      <c r="C7">
        <v>70</v>
      </c>
    </row>
    <row r="8" spans="1:3" x14ac:dyDescent="0.2">
      <c r="A8" t="s">
        <v>9</v>
      </c>
      <c r="B8">
        <v>4.6169443985932102</v>
      </c>
      <c r="C8">
        <v>63.545150501672239</v>
      </c>
    </row>
    <row r="9" spans="1:3" x14ac:dyDescent="0.2">
      <c r="A9" t="s">
        <v>10</v>
      </c>
      <c r="B9">
        <v>4.7139393959354248</v>
      </c>
      <c r="C9">
        <v>62.5</v>
      </c>
    </row>
    <row r="10" spans="1:3" x14ac:dyDescent="0.2">
      <c r="A10" t="s">
        <v>11</v>
      </c>
      <c r="B10">
        <v>14.706332736224031</v>
      </c>
      <c r="C10">
        <v>82.857142857142861</v>
      </c>
    </row>
    <row r="11" spans="1:3" x14ac:dyDescent="0.2">
      <c r="A11" t="s">
        <v>12</v>
      </c>
      <c r="B11">
        <v>29.169999895871111</v>
      </c>
      <c r="C11">
        <v>75</v>
      </c>
    </row>
    <row r="21" spans="1:10" x14ac:dyDescent="0.2">
      <c r="A21" t="s">
        <v>3</v>
      </c>
      <c r="B21" t="s">
        <v>4</v>
      </c>
      <c r="C21" t="s">
        <v>5</v>
      </c>
      <c r="D21" t="s">
        <v>6</v>
      </c>
      <c r="E21" t="s">
        <v>7</v>
      </c>
      <c r="F21" t="s">
        <v>8</v>
      </c>
      <c r="G21" t="s">
        <v>9</v>
      </c>
      <c r="H21" t="s">
        <v>10</v>
      </c>
      <c r="I21" t="s">
        <v>11</v>
      </c>
      <c r="J21" t="s">
        <v>12</v>
      </c>
    </row>
    <row r="22" spans="1:10" x14ac:dyDescent="0.2">
      <c r="A22">
        <v>1.76606637607269</v>
      </c>
      <c r="B22">
        <v>2.2794268153701349</v>
      </c>
      <c r="C22">
        <v>2.4759315986705901</v>
      </c>
      <c r="D22">
        <v>2.4843579057510601</v>
      </c>
      <c r="E22">
        <v>2.7312464327280201</v>
      </c>
      <c r="F22">
        <v>4.1972005259422307</v>
      </c>
      <c r="G22">
        <v>4.6169443985932102</v>
      </c>
      <c r="H22">
        <v>4.7139393959354248</v>
      </c>
      <c r="I22">
        <v>14.706332736224031</v>
      </c>
      <c r="J22">
        <v>29.169999895871111</v>
      </c>
    </row>
    <row r="23" spans="1:10" x14ac:dyDescent="0.2">
      <c r="A23">
        <v>63.492063492063487</v>
      </c>
      <c r="B23">
        <v>68.181818181818173</v>
      </c>
      <c r="C23">
        <v>80.952380952380949</v>
      </c>
      <c r="D23">
        <v>68.627450980392155</v>
      </c>
      <c r="E23">
        <v>75.555555555555557</v>
      </c>
      <c r="F23">
        <v>70</v>
      </c>
      <c r="G23">
        <v>63.545150501672239</v>
      </c>
      <c r="H23">
        <v>62.5</v>
      </c>
      <c r="I23">
        <v>82.857142857142861</v>
      </c>
      <c r="J23">
        <v>75</v>
      </c>
    </row>
    <row r="24" spans="1:10" x14ac:dyDescent="0.2">
      <c r="A24" t="s">
        <v>6</v>
      </c>
      <c r="B24">
        <v>2.4843579057510601</v>
      </c>
      <c r="C24">
        <v>68.627450980392155</v>
      </c>
    </row>
    <row r="25" spans="1:10" x14ac:dyDescent="0.2">
      <c r="A25" t="s">
        <v>7</v>
      </c>
      <c r="B25">
        <v>2.7312464327280201</v>
      </c>
      <c r="C25">
        <v>75.555555555555557</v>
      </c>
    </row>
    <row r="26" spans="1:10" x14ac:dyDescent="0.2">
      <c r="A26" t="s">
        <v>8</v>
      </c>
      <c r="B26">
        <v>4.1972005259422307</v>
      </c>
      <c r="C26">
        <v>70</v>
      </c>
    </row>
    <row r="27" spans="1:10" x14ac:dyDescent="0.2">
      <c r="A27" t="s">
        <v>9</v>
      </c>
      <c r="B27">
        <v>4.6169443985932102</v>
      </c>
      <c r="C27">
        <v>63.545150501672239</v>
      </c>
    </row>
    <row r="28" spans="1:10" x14ac:dyDescent="0.2">
      <c r="A28" t="s">
        <v>10</v>
      </c>
      <c r="B28">
        <v>4.7139393959354248</v>
      </c>
      <c r="C28">
        <v>62.5</v>
      </c>
    </row>
    <row r="29" spans="1:10" x14ac:dyDescent="0.2">
      <c r="A29" t="s">
        <v>11</v>
      </c>
      <c r="B29">
        <v>14.706332736224031</v>
      </c>
      <c r="C29">
        <v>82.857142857142861</v>
      </c>
    </row>
    <row r="30" spans="1:10" x14ac:dyDescent="0.2">
      <c r="A30" t="s">
        <v>12</v>
      </c>
      <c r="B30">
        <v>29.169999895871111</v>
      </c>
      <c r="C30">
        <v>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2"/>
  <sheetViews>
    <sheetView workbookViewId="0">
      <selection activeCell="A20" sqref="A20:J22"/>
    </sheetView>
  </sheetViews>
  <sheetFormatPr baseColWidth="10" defaultColWidth="8.83203125" defaultRowHeight="15" x14ac:dyDescent="0.2"/>
  <cols>
    <col min="1" max="1" width="37" customWidth="1"/>
    <col min="2" max="2" width="21" customWidth="1"/>
    <col min="3" max="3" width="20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13</v>
      </c>
      <c r="B2">
        <v>-18.967023647073191</v>
      </c>
      <c r="C2">
        <v>34.285714285714278</v>
      </c>
    </row>
    <row r="3" spans="1:3" x14ac:dyDescent="0.2">
      <c r="A3" t="s">
        <v>14</v>
      </c>
      <c r="B3">
        <v>-15.88221730801407</v>
      </c>
      <c r="C3">
        <v>27.27272727272727</v>
      </c>
    </row>
    <row r="4" spans="1:3" x14ac:dyDescent="0.2">
      <c r="A4" t="s">
        <v>15</v>
      </c>
      <c r="B4">
        <v>-9.9546069773862449</v>
      </c>
      <c r="C4">
        <v>29.80769230769231</v>
      </c>
    </row>
    <row r="5" spans="1:3" x14ac:dyDescent="0.2">
      <c r="A5" t="s">
        <v>16</v>
      </c>
      <c r="B5">
        <v>-9.8715687067808293</v>
      </c>
      <c r="C5">
        <v>15.38461538461539</v>
      </c>
    </row>
    <row r="6" spans="1:3" x14ac:dyDescent="0.2">
      <c r="A6" t="s">
        <v>17</v>
      </c>
      <c r="B6">
        <v>-7.9618406230786114</v>
      </c>
      <c r="C6">
        <v>33.333333333333329</v>
      </c>
    </row>
    <row r="7" spans="1:3" x14ac:dyDescent="0.2">
      <c r="A7" t="s">
        <v>18</v>
      </c>
      <c r="B7">
        <v>-6.3848279383840296</v>
      </c>
      <c r="C7">
        <v>34.883720930232563</v>
      </c>
    </row>
    <row r="8" spans="1:3" x14ac:dyDescent="0.2">
      <c r="A8" t="s">
        <v>19</v>
      </c>
      <c r="B8">
        <v>-6.2145518287983501</v>
      </c>
      <c r="C8">
        <v>30.90909090909091</v>
      </c>
    </row>
    <row r="9" spans="1:3" x14ac:dyDescent="0.2">
      <c r="A9" t="s">
        <v>20</v>
      </c>
      <c r="B9">
        <v>-5.2469201087860604</v>
      </c>
      <c r="C9">
        <v>35.179153094462542</v>
      </c>
    </row>
    <row r="10" spans="1:3" x14ac:dyDescent="0.2">
      <c r="A10" t="s">
        <v>21</v>
      </c>
      <c r="B10">
        <v>-2.8183704039834399</v>
      </c>
      <c r="C10">
        <v>26.92307692307692</v>
      </c>
    </row>
    <row r="11" spans="1:3" x14ac:dyDescent="0.2">
      <c r="A11" t="s">
        <v>22</v>
      </c>
      <c r="B11">
        <v>-1.2267898162642501</v>
      </c>
      <c r="C11">
        <v>35.087719298245609</v>
      </c>
    </row>
    <row r="20" spans="1:10" x14ac:dyDescent="0.2">
      <c r="A20" t="s">
        <v>13</v>
      </c>
      <c r="B20" t="s">
        <v>14</v>
      </c>
      <c r="C20" t="s">
        <v>15</v>
      </c>
      <c r="D20" t="s">
        <v>16</v>
      </c>
      <c r="E20" t="s">
        <v>17</v>
      </c>
      <c r="F20" t="s">
        <v>18</v>
      </c>
      <c r="G20" t="s">
        <v>19</v>
      </c>
      <c r="H20" t="s">
        <v>20</v>
      </c>
      <c r="I20" t="s">
        <v>21</v>
      </c>
      <c r="J20" t="s">
        <v>22</v>
      </c>
    </row>
    <row r="21" spans="1:10" x14ac:dyDescent="0.2">
      <c r="A21">
        <v>-18.967023647073191</v>
      </c>
      <c r="B21">
        <v>-15.88221730801407</v>
      </c>
      <c r="C21">
        <v>-9.9546069773862449</v>
      </c>
      <c r="D21">
        <v>-9.8715687067808293</v>
      </c>
      <c r="E21">
        <v>-7.9618406230786114</v>
      </c>
      <c r="F21">
        <v>-6.3848279383840296</v>
      </c>
      <c r="G21">
        <v>-6.2145518287983501</v>
      </c>
      <c r="H21">
        <v>-5.2469201087860604</v>
      </c>
      <c r="I21">
        <v>-2.8183704039834399</v>
      </c>
      <c r="J21">
        <v>-1.2267898162642501</v>
      </c>
    </row>
    <row r="22" spans="1:10" x14ac:dyDescent="0.2">
      <c r="A22">
        <v>34.285714285714278</v>
      </c>
      <c r="B22">
        <v>27.27272727272727</v>
      </c>
      <c r="C22">
        <v>29.80769230769231</v>
      </c>
      <c r="D22">
        <v>15.38461538461539</v>
      </c>
      <c r="E22">
        <v>33.333333333333329</v>
      </c>
      <c r="F22">
        <v>34.883720930232563</v>
      </c>
      <c r="G22">
        <v>30.90909090909091</v>
      </c>
      <c r="H22">
        <v>35.179153094462542</v>
      </c>
      <c r="I22">
        <v>26.92307692307692</v>
      </c>
      <c r="J22">
        <v>35.087719298245609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61"/>
  <sheetViews>
    <sheetView topLeftCell="A36" workbookViewId="0">
      <selection activeCell="A59" sqref="A59:AO61"/>
    </sheetView>
  </sheetViews>
  <sheetFormatPr baseColWidth="10" defaultColWidth="8.83203125" defaultRowHeight="15" x14ac:dyDescent="0.2"/>
  <cols>
    <col min="1" max="1" width="10" customWidth="1"/>
    <col min="2" max="2" width="14" customWidth="1"/>
    <col min="3" max="3" width="20" customWidth="1"/>
  </cols>
  <sheetData>
    <row r="1" spans="1:12" x14ac:dyDescent="0.2">
      <c r="A1" s="1" t="s">
        <v>0</v>
      </c>
      <c r="B1" s="1" t="s">
        <v>23</v>
      </c>
      <c r="C1" s="1" t="s">
        <v>24</v>
      </c>
    </row>
    <row r="2" spans="1:12" x14ac:dyDescent="0.2">
      <c r="A2" t="s">
        <v>25</v>
      </c>
      <c r="B2">
        <v>89</v>
      </c>
      <c r="C2">
        <v>47.191011235955052</v>
      </c>
    </row>
    <row r="3" spans="1:12" x14ac:dyDescent="0.2">
      <c r="A3" t="s">
        <v>87</v>
      </c>
      <c r="B3">
        <v>95</v>
      </c>
      <c r="C3">
        <v>32.631578947368418</v>
      </c>
    </row>
    <row r="4" spans="1:12" x14ac:dyDescent="0.2">
      <c r="A4" t="s">
        <v>88</v>
      </c>
      <c r="B4">
        <v>117</v>
      </c>
      <c r="C4">
        <v>50.427350427350433</v>
      </c>
    </row>
    <row r="5" spans="1:12" x14ac:dyDescent="0.2">
      <c r="A5" t="s">
        <v>89</v>
      </c>
      <c r="B5">
        <v>2</v>
      </c>
      <c r="C5">
        <v>100</v>
      </c>
    </row>
    <row r="6" spans="1:12" x14ac:dyDescent="0.2">
      <c r="A6" t="s">
        <v>26</v>
      </c>
      <c r="B6">
        <v>108</v>
      </c>
      <c r="C6">
        <v>80.555555555555557</v>
      </c>
      <c r="J6">
        <v>2017</v>
      </c>
      <c r="K6" t="s">
        <v>93</v>
      </c>
      <c r="L6" t="str">
        <f>_xlfn.CONCAT(J6,K6)</f>
        <v>2017Q1</v>
      </c>
    </row>
    <row r="7" spans="1:12" x14ac:dyDescent="0.2">
      <c r="A7" t="s">
        <v>90</v>
      </c>
      <c r="B7">
        <v>116</v>
      </c>
      <c r="C7">
        <v>56.896551724137943</v>
      </c>
      <c r="J7">
        <v>2017</v>
      </c>
      <c r="K7" t="s">
        <v>94</v>
      </c>
      <c r="L7" t="str">
        <f t="shared" ref="L7:L41" si="0">_xlfn.CONCAT(J7,K7)</f>
        <v>2017Q2</v>
      </c>
    </row>
    <row r="8" spans="1:12" x14ac:dyDescent="0.2">
      <c r="A8" t="s">
        <v>91</v>
      </c>
      <c r="B8">
        <v>78</v>
      </c>
      <c r="C8">
        <v>52.564102564102569</v>
      </c>
      <c r="J8">
        <v>2017</v>
      </c>
      <c r="K8" t="s">
        <v>95</v>
      </c>
      <c r="L8" t="str">
        <f t="shared" si="0"/>
        <v>2017Q3</v>
      </c>
    </row>
    <row r="9" spans="1:12" x14ac:dyDescent="0.2">
      <c r="A9" t="s">
        <v>92</v>
      </c>
      <c r="B9">
        <v>115</v>
      </c>
      <c r="C9">
        <v>46.956521739130437</v>
      </c>
      <c r="J9">
        <v>2017</v>
      </c>
      <c r="K9" t="s">
        <v>96</v>
      </c>
      <c r="L9" t="str">
        <f t="shared" si="0"/>
        <v>2017Q4</v>
      </c>
    </row>
    <row r="10" spans="1:12" x14ac:dyDescent="0.2">
      <c r="A10" t="s">
        <v>27</v>
      </c>
      <c r="B10">
        <v>190</v>
      </c>
      <c r="C10">
        <v>37.368421052631582</v>
      </c>
      <c r="G10" t="s">
        <v>26</v>
      </c>
      <c r="J10">
        <v>2018</v>
      </c>
      <c r="K10" t="s">
        <v>93</v>
      </c>
      <c r="L10" t="str">
        <f t="shared" si="0"/>
        <v>2018Q1</v>
      </c>
    </row>
    <row r="11" spans="1:12" x14ac:dyDescent="0.2">
      <c r="A11" t="s">
        <v>97</v>
      </c>
      <c r="B11">
        <v>92</v>
      </c>
      <c r="C11">
        <v>53.260869565217398</v>
      </c>
      <c r="G11" t="s">
        <v>27</v>
      </c>
      <c r="J11">
        <v>2018</v>
      </c>
      <c r="K11" t="s">
        <v>94</v>
      </c>
      <c r="L11" t="str">
        <f t="shared" si="0"/>
        <v>2018Q2</v>
      </c>
    </row>
    <row r="12" spans="1:12" x14ac:dyDescent="0.2">
      <c r="A12" t="s">
        <v>98</v>
      </c>
      <c r="B12">
        <v>132</v>
      </c>
      <c r="C12">
        <v>65.151515151515156</v>
      </c>
      <c r="G12" t="s">
        <v>28</v>
      </c>
      <c r="J12">
        <v>2018</v>
      </c>
      <c r="K12" t="s">
        <v>95</v>
      </c>
      <c r="L12" t="str">
        <f t="shared" si="0"/>
        <v>2018Q3</v>
      </c>
    </row>
    <row r="13" spans="1:12" x14ac:dyDescent="0.2">
      <c r="A13" t="s">
        <v>99</v>
      </c>
      <c r="B13">
        <v>168</v>
      </c>
      <c r="C13">
        <v>44.047619047619037</v>
      </c>
      <c r="G13" t="s">
        <v>29</v>
      </c>
      <c r="J13">
        <v>2018</v>
      </c>
      <c r="K13" t="s">
        <v>96</v>
      </c>
      <c r="L13" t="str">
        <f t="shared" si="0"/>
        <v>2018Q4</v>
      </c>
    </row>
    <row r="14" spans="1:12" x14ac:dyDescent="0.2">
      <c r="A14" t="s">
        <v>28</v>
      </c>
      <c r="B14">
        <v>124</v>
      </c>
      <c r="C14">
        <v>51.612903225806448</v>
      </c>
      <c r="G14" t="s">
        <v>30</v>
      </c>
      <c r="J14">
        <v>2019</v>
      </c>
      <c r="K14" t="s">
        <v>93</v>
      </c>
      <c r="L14" t="str">
        <f t="shared" si="0"/>
        <v>2019Q1</v>
      </c>
    </row>
    <row r="15" spans="1:12" x14ac:dyDescent="0.2">
      <c r="A15" t="s">
        <v>100</v>
      </c>
      <c r="B15">
        <v>317</v>
      </c>
      <c r="C15">
        <v>56.151419558359613</v>
      </c>
      <c r="G15" t="s">
        <v>31</v>
      </c>
      <c r="J15">
        <v>2019</v>
      </c>
      <c r="K15" t="s">
        <v>94</v>
      </c>
      <c r="L15" t="str">
        <f t="shared" si="0"/>
        <v>2019Q2</v>
      </c>
    </row>
    <row r="16" spans="1:12" x14ac:dyDescent="0.2">
      <c r="A16" t="s">
        <v>101</v>
      </c>
      <c r="B16">
        <v>710</v>
      </c>
      <c r="C16">
        <v>49.154929577464792</v>
      </c>
      <c r="G16" t="s">
        <v>32</v>
      </c>
      <c r="J16">
        <v>2019</v>
      </c>
      <c r="K16" t="s">
        <v>95</v>
      </c>
      <c r="L16" t="str">
        <f t="shared" si="0"/>
        <v>2019Q3</v>
      </c>
    </row>
    <row r="17" spans="1:12" x14ac:dyDescent="0.2">
      <c r="A17" t="s">
        <v>102</v>
      </c>
      <c r="B17">
        <v>496</v>
      </c>
      <c r="C17">
        <v>55.241935483870961</v>
      </c>
      <c r="G17" t="s">
        <v>33</v>
      </c>
      <c r="J17">
        <v>2019</v>
      </c>
      <c r="K17" t="s">
        <v>96</v>
      </c>
      <c r="L17" t="str">
        <f t="shared" si="0"/>
        <v>2019Q4</v>
      </c>
    </row>
    <row r="18" spans="1:12" x14ac:dyDescent="0.2">
      <c r="A18" t="s">
        <v>29</v>
      </c>
      <c r="B18">
        <v>658</v>
      </c>
      <c r="C18">
        <v>48.632218844984813</v>
      </c>
      <c r="G18" t="s">
        <v>34</v>
      </c>
      <c r="J18">
        <v>2020</v>
      </c>
      <c r="K18" t="s">
        <v>93</v>
      </c>
      <c r="L18" t="str">
        <f t="shared" si="0"/>
        <v>2020Q1</v>
      </c>
    </row>
    <row r="19" spans="1:12" x14ac:dyDescent="0.2">
      <c r="A19" t="s">
        <v>103</v>
      </c>
      <c r="B19">
        <v>543</v>
      </c>
      <c r="C19">
        <v>46.408839779005532</v>
      </c>
      <c r="G19" t="s">
        <v>35</v>
      </c>
      <c r="J19">
        <v>2020</v>
      </c>
      <c r="K19" t="s">
        <v>94</v>
      </c>
      <c r="L19" t="str">
        <f t="shared" si="0"/>
        <v>2020Q2</v>
      </c>
    </row>
    <row r="20" spans="1:12" x14ac:dyDescent="0.2">
      <c r="A20" t="s">
        <v>104</v>
      </c>
      <c r="B20">
        <v>388</v>
      </c>
      <c r="C20">
        <v>44.845360824742272</v>
      </c>
      <c r="J20">
        <v>2020</v>
      </c>
      <c r="K20" t="s">
        <v>95</v>
      </c>
      <c r="L20" t="str">
        <f t="shared" si="0"/>
        <v>2020Q3</v>
      </c>
    </row>
    <row r="21" spans="1:12" x14ac:dyDescent="0.2">
      <c r="A21" t="s">
        <v>105</v>
      </c>
      <c r="B21">
        <v>545</v>
      </c>
      <c r="C21">
        <v>50.091743119266063</v>
      </c>
      <c r="J21">
        <v>2020</v>
      </c>
      <c r="K21" t="s">
        <v>96</v>
      </c>
      <c r="L21" t="str">
        <f t="shared" si="0"/>
        <v>2020Q4</v>
      </c>
    </row>
    <row r="22" spans="1:12" x14ac:dyDescent="0.2">
      <c r="A22" t="s">
        <v>30</v>
      </c>
      <c r="B22">
        <v>651</v>
      </c>
      <c r="C22">
        <v>52.380952380952387</v>
      </c>
      <c r="J22">
        <v>2021</v>
      </c>
      <c r="K22" t="s">
        <v>93</v>
      </c>
      <c r="L22" t="str">
        <f t="shared" si="0"/>
        <v>2021Q1</v>
      </c>
    </row>
    <row r="23" spans="1:12" x14ac:dyDescent="0.2">
      <c r="A23" t="s">
        <v>106</v>
      </c>
      <c r="B23">
        <v>1208</v>
      </c>
      <c r="C23">
        <v>55.463576158940398</v>
      </c>
      <c r="J23">
        <v>2021</v>
      </c>
      <c r="K23" t="s">
        <v>94</v>
      </c>
      <c r="L23" t="str">
        <f t="shared" si="0"/>
        <v>2021Q2</v>
      </c>
    </row>
    <row r="24" spans="1:12" x14ac:dyDescent="0.2">
      <c r="A24" t="s">
        <v>107</v>
      </c>
      <c r="B24">
        <v>707</v>
      </c>
      <c r="C24">
        <v>49.929278642149917</v>
      </c>
      <c r="J24">
        <v>2021</v>
      </c>
      <c r="K24" t="s">
        <v>95</v>
      </c>
      <c r="L24" t="str">
        <f t="shared" si="0"/>
        <v>2021Q3</v>
      </c>
    </row>
    <row r="25" spans="1:12" x14ac:dyDescent="0.2">
      <c r="A25" t="s">
        <v>108</v>
      </c>
      <c r="B25">
        <v>683</v>
      </c>
      <c r="C25">
        <v>49.780380673499273</v>
      </c>
      <c r="J25">
        <v>2021</v>
      </c>
      <c r="K25" t="s">
        <v>96</v>
      </c>
      <c r="L25" t="str">
        <f t="shared" si="0"/>
        <v>2021Q4</v>
      </c>
    </row>
    <row r="26" spans="1:12" x14ac:dyDescent="0.2">
      <c r="A26" t="s">
        <v>31</v>
      </c>
      <c r="B26">
        <v>568</v>
      </c>
      <c r="C26">
        <v>42.077464788732392</v>
      </c>
      <c r="J26">
        <v>2022</v>
      </c>
      <c r="K26" t="s">
        <v>93</v>
      </c>
      <c r="L26" t="str">
        <f t="shared" si="0"/>
        <v>2022Q1</v>
      </c>
    </row>
    <row r="27" spans="1:12" x14ac:dyDescent="0.2">
      <c r="A27" t="s">
        <v>109</v>
      </c>
      <c r="B27">
        <v>501</v>
      </c>
      <c r="C27">
        <v>45.309381237524953</v>
      </c>
      <c r="J27">
        <v>2022</v>
      </c>
      <c r="K27" t="s">
        <v>94</v>
      </c>
      <c r="L27" t="str">
        <f t="shared" si="0"/>
        <v>2022Q2</v>
      </c>
    </row>
    <row r="28" spans="1:12" x14ac:dyDescent="0.2">
      <c r="A28" t="s">
        <v>110</v>
      </c>
      <c r="B28">
        <v>804</v>
      </c>
      <c r="C28">
        <v>44.900497512437809</v>
      </c>
      <c r="J28">
        <v>2022</v>
      </c>
      <c r="K28" t="s">
        <v>95</v>
      </c>
      <c r="L28" t="str">
        <f t="shared" si="0"/>
        <v>2022Q3</v>
      </c>
    </row>
    <row r="29" spans="1:12" x14ac:dyDescent="0.2">
      <c r="A29" t="s">
        <v>111</v>
      </c>
      <c r="B29">
        <v>475</v>
      </c>
      <c r="C29">
        <v>48.421052631578952</v>
      </c>
      <c r="J29">
        <v>2022</v>
      </c>
      <c r="K29" t="s">
        <v>96</v>
      </c>
      <c r="L29" t="str">
        <f t="shared" si="0"/>
        <v>2022Q4</v>
      </c>
    </row>
    <row r="30" spans="1:12" x14ac:dyDescent="0.2">
      <c r="A30" t="s">
        <v>32</v>
      </c>
      <c r="B30">
        <v>401</v>
      </c>
      <c r="C30">
        <v>53.117206982543642</v>
      </c>
      <c r="J30">
        <v>2023</v>
      </c>
      <c r="K30" t="s">
        <v>93</v>
      </c>
      <c r="L30" t="str">
        <f t="shared" si="0"/>
        <v>2023Q1</v>
      </c>
    </row>
    <row r="31" spans="1:12" x14ac:dyDescent="0.2">
      <c r="A31" t="s">
        <v>112</v>
      </c>
      <c r="B31">
        <v>312</v>
      </c>
      <c r="C31">
        <v>52.243589743589737</v>
      </c>
      <c r="J31">
        <v>2023</v>
      </c>
      <c r="K31" t="s">
        <v>94</v>
      </c>
      <c r="L31" t="str">
        <f t="shared" si="0"/>
        <v>2023Q2</v>
      </c>
    </row>
    <row r="32" spans="1:12" x14ac:dyDescent="0.2">
      <c r="A32" t="s">
        <v>113</v>
      </c>
      <c r="B32">
        <v>472</v>
      </c>
      <c r="C32">
        <v>43.220338983050851</v>
      </c>
      <c r="J32">
        <v>2023</v>
      </c>
      <c r="K32" t="s">
        <v>95</v>
      </c>
      <c r="L32" t="str">
        <f t="shared" si="0"/>
        <v>2023Q3</v>
      </c>
    </row>
    <row r="33" spans="1:12" x14ac:dyDescent="0.2">
      <c r="A33" t="s">
        <v>114</v>
      </c>
      <c r="B33">
        <v>355</v>
      </c>
      <c r="C33">
        <v>50.140845070422543</v>
      </c>
      <c r="J33">
        <v>2023</v>
      </c>
      <c r="K33" t="s">
        <v>96</v>
      </c>
      <c r="L33" t="str">
        <f t="shared" si="0"/>
        <v>2023Q4</v>
      </c>
    </row>
    <row r="34" spans="1:12" x14ac:dyDescent="0.2">
      <c r="A34" t="s">
        <v>33</v>
      </c>
      <c r="B34">
        <v>351</v>
      </c>
      <c r="C34">
        <v>37.037037037037038</v>
      </c>
      <c r="J34">
        <v>2024</v>
      </c>
      <c r="K34" t="s">
        <v>93</v>
      </c>
      <c r="L34" t="str">
        <f t="shared" si="0"/>
        <v>2024Q1</v>
      </c>
    </row>
    <row r="35" spans="1:12" x14ac:dyDescent="0.2">
      <c r="A35" t="s">
        <v>115</v>
      </c>
      <c r="B35">
        <v>509</v>
      </c>
      <c r="C35">
        <v>40.86444007858546</v>
      </c>
      <c r="J35">
        <v>2024</v>
      </c>
      <c r="K35" t="s">
        <v>94</v>
      </c>
      <c r="L35" t="str">
        <f t="shared" si="0"/>
        <v>2024Q2</v>
      </c>
    </row>
    <row r="36" spans="1:12" x14ac:dyDescent="0.2">
      <c r="A36" t="s">
        <v>116</v>
      </c>
      <c r="B36">
        <v>284</v>
      </c>
      <c r="C36">
        <v>42.605633802816897</v>
      </c>
      <c r="J36">
        <v>2024</v>
      </c>
      <c r="K36" t="s">
        <v>95</v>
      </c>
      <c r="L36" t="str">
        <f t="shared" si="0"/>
        <v>2024Q3</v>
      </c>
    </row>
    <row r="37" spans="1:12" x14ac:dyDescent="0.2">
      <c r="A37" t="s">
        <v>117</v>
      </c>
      <c r="B37">
        <v>406</v>
      </c>
      <c r="C37">
        <v>45.320197044334982</v>
      </c>
      <c r="J37">
        <v>2024</v>
      </c>
      <c r="K37" t="s">
        <v>96</v>
      </c>
      <c r="L37" t="str">
        <f t="shared" si="0"/>
        <v>2024Q4</v>
      </c>
    </row>
    <row r="38" spans="1:12" x14ac:dyDescent="0.2">
      <c r="A38" t="s">
        <v>34</v>
      </c>
      <c r="B38">
        <v>283</v>
      </c>
      <c r="C38">
        <v>44.876325088339222</v>
      </c>
      <c r="J38">
        <v>2025</v>
      </c>
      <c r="K38" t="s">
        <v>93</v>
      </c>
      <c r="L38" t="str">
        <f t="shared" si="0"/>
        <v>2025Q1</v>
      </c>
    </row>
    <row r="39" spans="1:12" x14ac:dyDescent="0.2">
      <c r="A39" t="s">
        <v>118</v>
      </c>
      <c r="B39">
        <v>189</v>
      </c>
      <c r="C39">
        <v>42.857142857142847</v>
      </c>
      <c r="J39">
        <v>2025</v>
      </c>
      <c r="K39" t="s">
        <v>94</v>
      </c>
      <c r="L39" t="str">
        <f t="shared" si="0"/>
        <v>2025Q2</v>
      </c>
    </row>
    <row r="40" spans="1:12" x14ac:dyDescent="0.2">
      <c r="A40" t="s">
        <v>119</v>
      </c>
      <c r="B40">
        <v>496</v>
      </c>
      <c r="C40">
        <v>44.95967741935484</v>
      </c>
      <c r="J40">
        <v>2025</v>
      </c>
      <c r="K40" t="s">
        <v>95</v>
      </c>
      <c r="L40" t="str">
        <f t="shared" si="0"/>
        <v>2025Q3</v>
      </c>
    </row>
    <row r="41" spans="1:12" x14ac:dyDescent="0.2">
      <c r="A41" t="s">
        <v>120</v>
      </c>
      <c r="B41">
        <v>248</v>
      </c>
      <c r="C41">
        <v>49.596774193548377</v>
      </c>
      <c r="J41">
        <v>2025</v>
      </c>
      <c r="K41" t="s">
        <v>96</v>
      </c>
      <c r="L41" t="str">
        <f t="shared" si="0"/>
        <v>2025Q4</v>
      </c>
    </row>
    <row r="42" spans="1:12" x14ac:dyDescent="0.2">
      <c r="A42" t="s">
        <v>35</v>
      </c>
      <c r="B42">
        <v>131</v>
      </c>
      <c r="C42">
        <v>51.908396946564878</v>
      </c>
    </row>
    <row r="43" spans="1:12" x14ac:dyDescent="0.2">
      <c r="A43" t="s">
        <v>121</v>
      </c>
    </row>
    <row r="44" spans="1:12" x14ac:dyDescent="0.2">
      <c r="A44" t="s">
        <v>122</v>
      </c>
    </row>
    <row r="45" spans="1:12" x14ac:dyDescent="0.2">
      <c r="A45" t="s">
        <v>123</v>
      </c>
    </row>
    <row r="59" spans="1:41" x14ac:dyDescent="0.2">
      <c r="A59" t="s">
        <v>25</v>
      </c>
      <c r="B59" t="s">
        <v>87</v>
      </c>
      <c r="C59" t="s">
        <v>88</v>
      </c>
      <c r="D59" t="s">
        <v>89</v>
      </c>
      <c r="E59" t="s">
        <v>26</v>
      </c>
      <c r="F59" t="s">
        <v>90</v>
      </c>
      <c r="G59" t="s">
        <v>91</v>
      </c>
      <c r="H59" t="s">
        <v>92</v>
      </c>
      <c r="I59" t="s">
        <v>27</v>
      </c>
      <c r="J59" t="s">
        <v>97</v>
      </c>
      <c r="K59" t="s">
        <v>98</v>
      </c>
      <c r="L59" t="s">
        <v>99</v>
      </c>
      <c r="M59" t="s">
        <v>28</v>
      </c>
      <c r="N59" t="s">
        <v>100</v>
      </c>
      <c r="O59" t="s">
        <v>101</v>
      </c>
      <c r="P59" t="s">
        <v>102</v>
      </c>
      <c r="Q59" t="s">
        <v>29</v>
      </c>
      <c r="R59" t="s">
        <v>103</v>
      </c>
      <c r="S59" t="s">
        <v>104</v>
      </c>
      <c r="T59" t="s">
        <v>105</v>
      </c>
      <c r="U59" t="s">
        <v>30</v>
      </c>
      <c r="V59" t="s">
        <v>106</v>
      </c>
      <c r="W59" t="s">
        <v>107</v>
      </c>
      <c r="X59" t="s">
        <v>108</v>
      </c>
      <c r="Y59" t="s">
        <v>31</v>
      </c>
      <c r="Z59" t="s">
        <v>109</v>
      </c>
      <c r="AA59" t="s">
        <v>110</v>
      </c>
      <c r="AB59" t="s">
        <v>111</v>
      </c>
      <c r="AC59" t="s">
        <v>32</v>
      </c>
      <c r="AD59" t="s">
        <v>112</v>
      </c>
      <c r="AE59" t="s">
        <v>113</v>
      </c>
      <c r="AF59" t="s">
        <v>114</v>
      </c>
      <c r="AG59" t="s">
        <v>33</v>
      </c>
      <c r="AH59" t="s">
        <v>115</v>
      </c>
      <c r="AI59" t="s">
        <v>116</v>
      </c>
      <c r="AJ59" t="s">
        <v>117</v>
      </c>
      <c r="AK59" t="s">
        <v>34</v>
      </c>
      <c r="AL59" t="s">
        <v>118</v>
      </c>
      <c r="AM59" t="s">
        <v>119</v>
      </c>
      <c r="AN59" t="s">
        <v>120</v>
      </c>
      <c r="AO59" t="s">
        <v>35</v>
      </c>
    </row>
    <row r="60" spans="1:41" x14ac:dyDescent="0.2">
      <c r="A60">
        <v>89</v>
      </c>
      <c r="B60">
        <v>95</v>
      </c>
      <c r="C60">
        <v>117</v>
      </c>
      <c r="D60">
        <v>2</v>
      </c>
      <c r="E60">
        <v>108</v>
      </c>
      <c r="F60">
        <v>116</v>
      </c>
      <c r="G60">
        <v>78</v>
      </c>
      <c r="H60">
        <v>115</v>
      </c>
      <c r="I60">
        <v>190</v>
      </c>
      <c r="J60">
        <v>92</v>
      </c>
      <c r="K60">
        <v>132</v>
      </c>
      <c r="L60">
        <v>168</v>
      </c>
      <c r="M60">
        <v>124</v>
      </c>
      <c r="N60">
        <v>317</v>
      </c>
      <c r="O60">
        <v>710</v>
      </c>
      <c r="P60">
        <v>496</v>
      </c>
      <c r="Q60">
        <v>658</v>
      </c>
      <c r="R60">
        <v>543</v>
      </c>
      <c r="S60">
        <v>388</v>
      </c>
      <c r="T60">
        <v>545</v>
      </c>
      <c r="U60">
        <v>651</v>
      </c>
      <c r="V60">
        <v>1208</v>
      </c>
      <c r="W60">
        <v>707</v>
      </c>
      <c r="X60">
        <v>683</v>
      </c>
      <c r="Y60">
        <v>568</v>
      </c>
      <c r="Z60">
        <v>501</v>
      </c>
      <c r="AA60">
        <v>804</v>
      </c>
      <c r="AB60">
        <v>475</v>
      </c>
      <c r="AC60">
        <v>401</v>
      </c>
      <c r="AD60">
        <v>312</v>
      </c>
      <c r="AE60">
        <v>472</v>
      </c>
      <c r="AF60">
        <v>355</v>
      </c>
      <c r="AG60">
        <v>351</v>
      </c>
      <c r="AH60">
        <v>509</v>
      </c>
      <c r="AI60">
        <v>284</v>
      </c>
      <c r="AJ60">
        <v>406</v>
      </c>
      <c r="AK60">
        <v>283</v>
      </c>
      <c r="AL60">
        <v>189</v>
      </c>
      <c r="AM60">
        <v>496</v>
      </c>
      <c r="AN60">
        <v>248</v>
      </c>
      <c r="AO60">
        <v>131</v>
      </c>
    </row>
    <row r="61" spans="1:41" x14ac:dyDescent="0.2">
      <c r="A61">
        <v>47.191011235955052</v>
      </c>
      <c r="B61">
        <v>32.631578947368418</v>
      </c>
      <c r="C61">
        <v>50.427350427350433</v>
      </c>
      <c r="D61">
        <v>100</v>
      </c>
      <c r="E61">
        <v>80.555555555555557</v>
      </c>
      <c r="F61">
        <v>56.896551724137943</v>
      </c>
      <c r="G61">
        <v>52.564102564102569</v>
      </c>
      <c r="H61">
        <v>46.956521739130437</v>
      </c>
      <c r="I61">
        <v>37.368421052631582</v>
      </c>
      <c r="J61">
        <v>53.260869565217398</v>
      </c>
      <c r="K61">
        <v>65.151515151515156</v>
      </c>
      <c r="L61">
        <v>44.047619047619037</v>
      </c>
      <c r="M61">
        <v>51.612903225806448</v>
      </c>
      <c r="N61">
        <v>56.151419558359613</v>
      </c>
      <c r="O61">
        <v>49.154929577464792</v>
      </c>
      <c r="P61">
        <v>55.241935483870961</v>
      </c>
      <c r="Q61">
        <v>48.632218844984813</v>
      </c>
      <c r="R61">
        <v>46.408839779005532</v>
      </c>
      <c r="S61">
        <v>44.845360824742272</v>
      </c>
      <c r="T61">
        <v>50.091743119266063</v>
      </c>
      <c r="U61">
        <v>52.380952380952387</v>
      </c>
      <c r="V61">
        <v>55.463576158940398</v>
      </c>
      <c r="W61">
        <v>49.929278642149917</v>
      </c>
      <c r="X61">
        <v>49.780380673499273</v>
      </c>
      <c r="Y61">
        <v>42.077464788732392</v>
      </c>
      <c r="Z61">
        <v>45.309381237524953</v>
      </c>
      <c r="AA61">
        <v>44.900497512437809</v>
      </c>
      <c r="AB61">
        <v>48.421052631578952</v>
      </c>
      <c r="AC61">
        <v>53.117206982543642</v>
      </c>
      <c r="AD61">
        <v>52.243589743589737</v>
      </c>
      <c r="AE61">
        <v>43.220338983050851</v>
      </c>
      <c r="AF61">
        <v>50.140845070422543</v>
      </c>
      <c r="AG61">
        <v>37.037037037037038</v>
      </c>
      <c r="AH61">
        <v>40.86444007858546</v>
      </c>
      <c r="AI61">
        <v>42.605633802816897</v>
      </c>
      <c r="AJ61">
        <v>45.320197044334982</v>
      </c>
      <c r="AK61">
        <v>44.876325088339222</v>
      </c>
      <c r="AL61">
        <v>42.857142857142847</v>
      </c>
      <c r="AM61">
        <v>44.95967741935484</v>
      </c>
      <c r="AN61">
        <v>49.596774193548377</v>
      </c>
      <c r="AO61">
        <v>51.908396946564878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6"/>
  <sheetViews>
    <sheetView workbookViewId="0">
      <selection activeCell="A14" sqref="A14:B16"/>
    </sheetView>
  </sheetViews>
  <sheetFormatPr baseColWidth="10" defaultColWidth="8.83203125" defaultRowHeight="15" x14ac:dyDescent="0.2"/>
  <cols>
    <col min="1" max="1" width="12" customWidth="1"/>
    <col min="2" max="2" width="19" customWidth="1"/>
    <col min="3" max="3" width="20" customWidth="1"/>
  </cols>
  <sheetData>
    <row r="1" spans="1:3" x14ac:dyDescent="0.2">
      <c r="A1" s="1" t="s">
        <v>0</v>
      </c>
      <c r="B1" s="1" t="s">
        <v>36</v>
      </c>
      <c r="C1" s="1" t="s">
        <v>2</v>
      </c>
    </row>
    <row r="2" spans="1:3" x14ac:dyDescent="0.2">
      <c r="A2" t="s">
        <v>37</v>
      </c>
      <c r="B2">
        <v>-0.69067488071926997</v>
      </c>
      <c r="C2">
        <v>47.598201609086601</v>
      </c>
    </row>
    <row r="3" spans="1:3" x14ac:dyDescent="0.2">
      <c r="A3" t="s">
        <v>38</v>
      </c>
      <c r="B3">
        <v>-0.38121448098941002</v>
      </c>
      <c r="C3">
        <v>49.129229062673318</v>
      </c>
    </row>
    <row r="14" spans="1:3" x14ac:dyDescent="0.2">
      <c r="A14" t="s">
        <v>37</v>
      </c>
      <c r="B14" t="s">
        <v>38</v>
      </c>
    </row>
    <row r="15" spans="1:3" x14ac:dyDescent="0.2">
      <c r="A15">
        <v>-0.69067488071926997</v>
      </c>
      <c r="B15">
        <v>-0.38121448098941002</v>
      </c>
    </row>
    <row r="16" spans="1:3" x14ac:dyDescent="0.2">
      <c r="A16">
        <v>47.598201609086601</v>
      </c>
      <c r="B16">
        <v>49.129229062673318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8"/>
  <sheetViews>
    <sheetView workbookViewId="0">
      <selection activeCell="A16" sqref="A16:G18"/>
    </sheetView>
  </sheetViews>
  <sheetFormatPr baseColWidth="10" defaultColWidth="8.83203125" defaultRowHeight="15" x14ac:dyDescent="0.2"/>
  <cols>
    <col min="1" max="1" width="10" customWidth="1"/>
    <col min="2" max="2" width="22" customWidth="1"/>
    <col min="3" max="3" width="19" customWidth="1"/>
  </cols>
  <sheetData>
    <row r="1" spans="1:7" x14ac:dyDescent="0.2">
      <c r="A1" s="1" t="s">
        <v>0</v>
      </c>
      <c r="B1" s="1" t="s">
        <v>36</v>
      </c>
      <c r="C1" s="1" t="s">
        <v>2</v>
      </c>
    </row>
    <row r="2" spans="1:7" x14ac:dyDescent="0.2">
      <c r="A2" t="s">
        <v>39</v>
      </c>
      <c r="B2">
        <v>1.16227405624277</v>
      </c>
      <c r="C2">
        <v>51.975371985633657</v>
      </c>
    </row>
    <row r="3" spans="1:7" x14ac:dyDescent="0.2">
      <c r="A3" t="s">
        <v>40</v>
      </c>
      <c r="B3">
        <v>-0.58365752900530998</v>
      </c>
      <c r="C3">
        <v>47.277152418618797</v>
      </c>
    </row>
    <row r="4" spans="1:7" x14ac:dyDescent="0.2">
      <c r="A4" t="s">
        <v>41</v>
      </c>
      <c r="B4">
        <v>-0.26377859110444002</v>
      </c>
      <c r="C4">
        <v>49.006197905535373</v>
      </c>
    </row>
    <row r="5" spans="1:7" x14ac:dyDescent="0.2">
      <c r="A5" t="s">
        <v>42</v>
      </c>
      <c r="B5">
        <v>-0.38217530420059498</v>
      </c>
      <c r="C5">
        <v>48.315301391035547</v>
      </c>
    </row>
    <row r="6" spans="1:7" x14ac:dyDescent="0.2">
      <c r="A6" t="s">
        <v>43</v>
      </c>
      <c r="B6">
        <v>-1.2460012898638599</v>
      </c>
      <c r="C6">
        <v>47.738693467336688</v>
      </c>
    </row>
    <row r="7" spans="1:7" x14ac:dyDescent="0.2">
      <c r="A7" t="s">
        <v>44</v>
      </c>
      <c r="B7">
        <v>-2.1971285924551101</v>
      </c>
      <c r="C7">
        <v>42.892156862745097</v>
      </c>
    </row>
    <row r="8" spans="1:7" x14ac:dyDescent="0.2">
      <c r="A8" t="s">
        <v>45</v>
      </c>
      <c r="B8">
        <v>-0.83217734529470488</v>
      </c>
      <c r="C8">
        <v>47.43981010512038</v>
      </c>
    </row>
    <row r="16" spans="1:7" x14ac:dyDescent="0.2">
      <c r="A16" t="s">
        <v>39</v>
      </c>
      <c r="B16" t="s">
        <v>40</v>
      </c>
      <c r="C16" t="s">
        <v>41</v>
      </c>
      <c r="D16" t="s">
        <v>42</v>
      </c>
      <c r="E16" t="s">
        <v>43</v>
      </c>
      <c r="F16" t="s">
        <v>44</v>
      </c>
      <c r="G16" t="s">
        <v>45</v>
      </c>
    </row>
    <row r="17" spans="1:7" x14ac:dyDescent="0.2">
      <c r="A17">
        <v>1.16227405624277</v>
      </c>
      <c r="B17">
        <v>-0.58365752900530998</v>
      </c>
      <c r="C17">
        <v>-0.26377859110444002</v>
      </c>
      <c r="D17">
        <v>-0.38217530420059498</v>
      </c>
      <c r="E17">
        <v>-1.2460012898638599</v>
      </c>
      <c r="F17">
        <v>-2.1971285924551101</v>
      </c>
      <c r="G17">
        <v>-0.83217734529470488</v>
      </c>
    </row>
    <row r="18" spans="1:7" x14ac:dyDescent="0.2">
      <c r="A18">
        <v>51.975371985633657</v>
      </c>
      <c r="B18">
        <v>47.277152418618797</v>
      </c>
      <c r="C18">
        <v>49.006197905535373</v>
      </c>
      <c r="D18">
        <v>48.315301391035547</v>
      </c>
      <c r="E18">
        <v>47.738693467336688</v>
      </c>
      <c r="F18">
        <v>42.892156862745097</v>
      </c>
      <c r="G18">
        <v>47.43981010512038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5"/>
  <sheetViews>
    <sheetView workbookViewId="0">
      <selection activeCell="A13" sqref="A13:D15"/>
    </sheetView>
  </sheetViews>
  <sheetFormatPr baseColWidth="10" defaultColWidth="8.83203125" defaultRowHeight="15" x14ac:dyDescent="0.2"/>
  <cols>
    <col min="1" max="2" width="21" customWidth="1"/>
    <col min="3" max="3" width="20" customWidth="1"/>
  </cols>
  <sheetData>
    <row r="1" spans="1:4" x14ac:dyDescent="0.2">
      <c r="A1" s="1" t="s">
        <v>0</v>
      </c>
      <c r="B1" s="1" t="s">
        <v>36</v>
      </c>
      <c r="C1" s="1" t="s">
        <v>2</v>
      </c>
    </row>
    <row r="2" spans="1:4" x14ac:dyDescent="0.2">
      <c r="A2" t="s">
        <v>46</v>
      </c>
      <c r="B2">
        <v>-0.49945448757105998</v>
      </c>
      <c r="C2">
        <v>48.40090820629257</v>
      </c>
    </row>
    <row r="3" spans="1:4" x14ac:dyDescent="0.2">
      <c r="A3" t="s">
        <v>47</v>
      </c>
      <c r="B3">
        <v>0.30842551617068498</v>
      </c>
      <c r="C3">
        <v>51.067961165048537</v>
      </c>
    </row>
    <row r="4" spans="1:4" x14ac:dyDescent="0.2">
      <c r="A4" t="s">
        <v>48</v>
      </c>
      <c r="B4">
        <v>0.11895684651624</v>
      </c>
      <c r="C4">
        <v>48.496732026143789</v>
      </c>
    </row>
    <row r="5" spans="1:4" x14ac:dyDescent="0.2">
      <c r="A5" t="s">
        <v>49</v>
      </c>
      <c r="B5">
        <v>-1.7360284043146399</v>
      </c>
      <c r="C5">
        <v>46.446078431372548</v>
      </c>
    </row>
    <row r="13" spans="1:4" x14ac:dyDescent="0.2">
      <c r="A13" t="s">
        <v>46</v>
      </c>
      <c r="B13" t="s">
        <v>47</v>
      </c>
      <c r="C13" t="s">
        <v>48</v>
      </c>
      <c r="D13" t="s">
        <v>49</v>
      </c>
    </row>
    <row r="14" spans="1:4" x14ac:dyDescent="0.2">
      <c r="A14">
        <v>-0.49945448757105998</v>
      </c>
      <c r="B14">
        <v>0.30842551617068498</v>
      </c>
      <c r="C14">
        <v>0.11895684651624</v>
      </c>
      <c r="D14">
        <v>-1.7360284043146399</v>
      </c>
    </row>
    <row r="15" spans="1:4" x14ac:dyDescent="0.2">
      <c r="A15">
        <v>48.40090820629257</v>
      </c>
      <c r="B15">
        <v>51.067961165048537</v>
      </c>
      <c r="C15">
        <v>48.496732026143789</v>
      </c>
      <c r="D15">
        <v>46.446078431372548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3"/>
  <sheetViews>
    <sheetView workbookViewId="0">
      <selection activeCell="A21" sqref="A21:I23"/>
    </sheetView>
  </sheetViews>
  <sheetFormatPr baseColWidth="10" defaultColWidth="8.83203125" defaultRowHeight="15" x14ac:dyDescent="0.2"/>
  <cols>
    <col min="1" max="1" width="22" customWidth="1"/>
    <col min="2" max="2" width="21" customWidth="1"/>
    <col min="3" max="3" width="20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50</v>
      </c>
      <c r="B2">
        <v>-0.65468272387382409</v>
      </c>
      <c r="C2">
        <v>48.311491935483872</v>
      </c>
    </row>
    <row r="3" spans="1:3" x14ac:dyDescent="0.2">
      <c r="A3" t="s">
        <v>51</v>
      </c>
      <c r="B3">
        <v>-1.0101159990043631</v>
      </c>
      <c r="C3">
        <v>47.259684361549503</v>
      </c>
    </row>
    <row r="4" spans="1:3" x14ac:dyDescent="0.2">
      <c r="A4" t="s">
        <v>52</v>
      </c>
      <c r="B4">
        <v>0.40547584990153762</v>
      </c>
      <c r="C4">
        <v>51.298701298701303</v>
      </c>
    </row>
    <row r="5" spans="1:3" x14ac:dyDescent="0.2">
      <c r="A5" t="s">
        <v>53</v>
      </c>
      <c r="B5">
        <v>1.1620740389768911</v>
      </c>
      <c r="C5">
        <v>53.536693191865602</v>
      </c>
    </row>
    <row r="6" spans="1:3" x14ac:dyDescent="0.2">
      <c r="A6" t="s">
        <v>54</v>
      </c>
      <c r="B6">
        <v>-0.3649241244392869</v>
      </c>
      <c r="C6">
        <v>48.788049605411501</v>
      </c>
    </row>
    <row r="7" spans="1:3" x14ac:dyDescent="0.2">
      <c r="A7" t="s">
        <v>55</v>
      </c>
      <c r="B7">
        <v>1.379620933806232</v>
      </c>
      <c r="C7">
        <v>53.239436619718298</v>
      </c>
    </row>
    <row r="8" spans="1:3" x14ac:dyDescent="0.2">
      <c r="A8" t="s">
        <v>56</v>
      </c>
      <c r="B8">
        <v>-0.37827858759681049</v>
      </c>
      <c r="C8">
        <v>48.714180749448929</v>
      </c>
    </row>
    <row r="9" spans="1:3" x14ac:dyDescent="0.2">
      <c r="A9" t="s">
        <v>57</v>
      </c>
      <c r="B9">
        <v>-1.3618104045595629</v>
      </c>
      <c r="C9">
        <v>44.205193160227992</v>
      </c>
    </row>
    <row r="10" spans="1:3" x14ac:dyDescent="0.2">
      <c r="A10" t="s">
        <v>58</v>
      </c>
      <c r="B10">
        <v>-1.760000752451597</v>
      </c>
      <c r="C10">
        <v>45.324476239141539</v>
      </c>
    </row>
    <row r="21" spans="1:9" x14ac:dyDescent="0.2">
      <c r="A21" t="s">
        <v>50</v>
      </c>
      <c r="B21" t="s">
        <v>51</v>
      </c>
      <c r="C21" t="s">
        <v>52</v>
      </c>
      <c r="D21" t="s">
        <v>53</v>
      </c>
      <c r="E21" t="s">
        <v>54</v>
      </c>
      <c r="F21" t="s">
        <v>55</v>
      </c>
      <c r="G21" t="s">
        <v>56</v>
      </c>
      <c r="H21" t="s">
        <v>57</v>
      </c>
      <c r="I21" t="s">
        <v>58</v>
      </c>
    </row>
    <row r="22" spans="1:9" x14ac:dyDescent="0.2">
      <c r="A22">
        <v>-0.65468272387382409</v>
      </c>
      <c r="B22">
        <v>-1.0101159990043631</v>
      </c>
      <c r="C22">
        <v>0.40547584990153762</v>
      </c>
      <c r="D22">
        <v>1.1620740389768911</v>
      </c>
      <c r="E22">
        <v>-0.3649241244392869</v>
      </c>
      <c r="F22">
        <v>1.379620933806232</v>
      </c>
      <c r="G22">
        <v>-0.37827858759681049</v>
      </c>
      <c r="H22">
        <v>-1.3618104045595629</v>
      </c>
      <c r="I22">
        <v>-1.760000752451597</v>
      </c>
    </row>
    <row r="23" spans="1:9" x14ac:dyDescent="0.2">
      <c r="A23">
        <v>48.311491935483872</v>
      </c>
      <c r="B23">
        <v>47.259684361549503</v>
      </c>
      <c r="C23">
        <v>51.298701298701303</v>
      </c>
      <c r="D23">
        <v>53.536693191865602</v>
      </c>
      <c r="E23">
        <v>48.788049605411501</v>
      </c>
      <c r="F23">
        <v>53.239436619718298</v>
      </c>
      <c r="G23">
        <v>48.714180749448929</v>
      </c>
      <c r="H23">
        <v>44.205193160227992</v>
      </c>
      <c r="I23">
        <v>45.324476239141539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5"/>
  <sheetViews>
    <sheetView workbookViewId="0">
      <selection activeCell="A13" sqref="A13:C15"/>
    </sheetView>
  </sheetViews>
  <sheetFormatPr baseColWidth="10" defaultColWidth="8.83203125" defaultRowHeight="15" x14ac:dyDescent="0.2"/>
  <cols>
    <col min="1" max="1" width="17" customWidth="1"/>
    <col min="2" max="2" width="21" customWidth="1"/>
    <col min="3" max="3" width="20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59</v>
      </c>
      <c r="B2">
        <v>0.37665043896206801</v>
      </c>
      <c r="C2">
        <v>50.46052631578948</v>
      </c>
    </row>
    <row r="3" spans="1:3" x14ac:dyDescent="0.2">
      <c r="A3" t="s">
        <v>60</v>
      </c>
      <c r="B3">
        <v>0.37162819513987638</v>
      </c>
      <c r="C3">
        <v>51.259946949602117</v>
      </c>
    </row>
    <row r="4" spans="1:3" x14ac:dyDescent="0.2">
      <c r="A4" t="s">
        <v>61</v>
      </c>
      <c r="B4">
        <v>1.943774136559695</v>
      </c>
      <c r="C4">
        <v>56.375838926174502</v>
      </c>
    </row>
    <row r="13" spans="1:3" x14ac:dyDescent="0.2">
      <c r="A13" t="s">
        <v>59</v>
      </c>
      <c r="B13" t="s">
        <v>60</v>
      </c>
      <c r="C13" t="s">
        <v>61</v>
      </c>
    </row>
    <row r="14" spans="1:3" x14ac:dyDescent="0.2">
      <c r="A14">
        <v>0.37665043896206801</v>
      </c>
      <c r="B14">
        <v>0.37162819513987638</v>
      </c>
      <c r="C14">
        <v>1.943774136559695</v>
      </c>
    </row>
    <row r="15" spans="1:3" x14ac:dyDescent="0.2">
      <c r="A15">
        <v>50.46052631578948</v>
      </c>
      <c r="B15">
        <v>51.259946949602117</v>
      </c>
      <c r="C15">
        <v>56.375838926174502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0"/>
  <sheetViews>
    <sheetView tabSelected="1" workbookViewId="0">
      <selection activeCell="A18" sqref="A18:J20"/>
    </sheetView>
  </sheetViews>
  <sheetFormatPr baseColWidth="10" defaultColWidth="8.83203125" defaultRowHeight="15" x14ac:dyDescent="0.2"/>
  <cols>
    <col min="1" max="1" width="10" customWidth="1"/>
    <col min="2" max="2" width="14" customWidth="1"/>
    <col min="3" max="3" width="12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62</v>
      </c>
      <c r="B2">
        <v>-1.4953000000000001</v>
      </c>
      <c r="C2">
        <v>45.913800000000002</v>
      </c>
    </row>
    <row r="3" spans="1:3" x14ac:dyDescent="0.2">
      <c r="A3" t="s">
        <v>63</v>
      </c>
      <c r="B3">
        <v>-1.3224</v>
      </c>
      <c r="C3">
        <v>46.403500000000001</v>
      </c>
    </row>
    <row r="4" spans="1:3" x14ac:dyDescent="0.2">
      <c r="A4" t="s">
        <v>64</v>
      </c>
      <c r="B4">
        <v>-0.72699999999999998</v>
      </c>
      <c r="C4">
        <v>47.4634</v>
      </c>
    </row>
    <row r="5" spans="1:3" x14ac:dyDescent="0.2">
      <c r="A5" t="s">
        <v>65</v>
      </c>
      <c r="B5">
        <v>-0.52429999999999999</v>
      </c>
      <c r="C5">
        <v>48.023400000000002</v>
      </c>
    </row>
    <row r="6" spans="1:3" x14ac:dyDescent="0.2">
      <c r="A6" t="s">
        <v>66</v>
      </c>
      <c r="B6">
        <v>-0.24729999999999999</v>
      </c>
      <c r="C6">
        <v>49.090899999999998</v>
      </c>
    </row>
    <row r="7" spans="1:3" x14ac:dyDescent="0.2">
      <c r="A7" t="s">
        <v>67</v>
      </c>
      <c r="B7">
        <v>0.33639999999999998</v>
      </c>
      <c r="C7">
        <v>51.873199999999997</v>
      </c>
    </row>
    <row r="8" spans="1:3" x14ac:dyDescent="0.2">
      <c r="A8" t="s">
        <v>68</v>
      </c>
      <c r="B8">
        <v>0.4385</v>
      </c>
      <c r="C8">
        <v>51.627899999999997</v>
      </c>
    </row>
    <row r="9" spans="1:3" x14ac:dyDescent="0.2">
      <c r="A9" t="s">
        <v>69</v>
      </c>
      <c r="B9">
        <v>0.62960000000000005</v>
      </c>
      <c r="C9">
        <v>51.485100000000003</v>
      </c>
    </row>
    <row r="10" spans="1:3" x14ac:dyDescent="0.2">
      <c r="A10" t="s">
        <v>70</v>
      </c>
      <c r="B10">
        <v>-0.76300000000000001</v>
      </c>
      <c r="C10">
        <v>50</v>
      </c>
    </row>
    <row r="11" spans="1:3" x14ac:dyDescent="0.2">
      <c r="A11" t="s">
        <v>71</v>
      </c>
      <c r="B11">
        <v>-3.5682999999999998</v>
      </c>
      <c r="C11">
        <v>50</v>
      </c>
    </row>
    <row r="18" spans="1:10" x14ac:dyDescent="0.2">
      <c r="A18" t="s">
        <v>62</v>
      </c>
      <c r="B18" t="s">
        <v>63</v>
      </c>
      <c r="C18" t="s">
        <v>64</v>
      </c>
      <c r="D18" t="s">
        <v>65</v>
      </c>
      <c r="E18" t="s">
        <v>66</v>
      </c>
      <c r="F18" t="s">
        <v>67</v>
      </c>
      <c r="G18" t="s">
        <v>68</v>
      </c>
      <c r="H18" t="s">
        <v>69</v>
      </c>
      <c r="I18" t="s">
        <v>70</v>
      </c>
      <c r="J18" t="s">
        <v>71</v>
      </c>
    </row>
    <row r="19" spans="1:10" x14ac:dyDescent="0.2">
      <c r="A19">
        <v>-1.4953000000000001</v>
      </c>
      <c r="B19">
        <v>-1.3224</v>
      </c>
      <c r="C19">
        <v>-0.72699999999999998</v>
      </c>
      <c r="D19">
        <v>-0.52429999999999999</v>
      </c>
      <c r="E19">
        <v>-0.24729999999999999</v>
      </c>
      <c r="F19">
        <v>0.33639999999999998</v>
      </c>
      <c r="G19">
        <v>0.4385</v>
      </c>
      <c r="H19">
        <v>0.62960000000000005</v>
      </c>
      <c r="I19">
        <v>-0.76300000000000001</v>
      </c>
      <c r="J19">
        <v>-3.5682999999999998</v>
      </c>
    </row>
    <row r="20" spans="1:10" x14ac:dyDescent="0.2">
      <c r="A20">
        <v>45.913800000000002</v>
      </c>
      <c r="B20">
        <v>46.403500000000001</v>
      </c>
      <c r="C20">
        <v>47.4634</v>
      </c>
      <c r="D20">
        <v>48.023400000000002</v>
      </c>
      <c r="E20">
        <v>49.090899999999998</v>
      </c>
      <c r="F20">
        <v>51.873199999999997</v>
      </c>
      <c r="G20">
        <v>51.627899999999997</v>
      </c>
      <c r="H20">
        <v>51.485100000000003</v>
      </c>
      <c r="I20">
        <v>50</v>
      </c>
      <c r="J20">
        <v>50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4"/>
  <sheetViews>
    <sheetView workbookViewId="0"/>
  </sheetViews>
  <sheetFormatPr baseColWidth="10" defaultColWidth="8.83203125" defaultRowHeight="15" x14ac:dyDescent="0.2"/>
  <cols>
    <col min="1" max="2" width="10" customWidth="1"/>
    <col min="3" max="3" width="20" customWidth="1"/>
    <col min="4" max="4" width="10" customWidth="1"/>
  </cols>
  <sheetData>
    <row r="1" spans="1:4" x14ac:dyDescent="0.2">
      <c r="A1" s="1" t="s">
        <v>0</v>
      </c>
      <c r="B1" s="1" t="s">
        <v>36</v>
      </c>
      <c r="C1" s="1" t="s">
        <v>72</v>
      </c>
      <c r="D1" s="1" t="s">
        <v>73</v>
      </c>
    </row>
    <row r="2" spans="1:4" x14ac:dyDescent="0.2">
      <c r="B2">
        <v>14.9</v>
      </c>
      <c r="C2">
        <v>5.0999999999999996</v>
      </c>
      <c r="D2">
        <v>3.5</v>
      </c>
    </row>
    <row r="3" spans="1:4" x14ac:dyDescent="0.2">
      <c r="B3">
        <v>21.8</v>
      </c>
      <c r="C3">
        <v>3.899999999999999</v>
      </c>
      <c r="D3">
        <v>5.3</v>
      </c>
    </row>
    <row r="4" spans="1:4" x14ac:dyDescent="0.2">
      <c r="B4">
        <v>35.1</v>
      </c>
      <c r="C4">
        <v>7.2000000000000028</v>
      </c>
      <c r="D4">
        <v>4.0999999999999996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1"/>
  <sheetViews>
    <sheetView workbookViewId="0"/>
  </sheetViews>
  <sheetFormatPr baseColWidth="10" defaultColWidth="8.83203125" defaultRowHeight="15" x14ac:dyDescent="0.2"/>
  <cols>
    <col min="1" max="2" width="10" customWidth="1"/>
    <col min="3" max="3" width="25" customWidth="1"/>
    <col min="4" max="4" width="27" customWidth="1"/>
  </cols>
  <sheetData>
    <row r="1" spans="1:4" x14ac:dyDescent="0.2">
      <c r="A1" s="1" t="s">
        <v>0</v>
      </c>
      <c r="B1" s="1" t="s">
        <v>74</v>
      </c>
      <c r="C1" s="1" t="s">
        <v>75</v>
      </c>
      <c r="D1" s="1" t="s">
        <v>76</v>
      </c>
    </row>
    <row r="2" spans="1:4" x14ac:dyDescent="0.2">
      <c r="A2" t="s">
        <v>62</v>
      </c>
      <c r="B2">
        <v>1472</v>
      </c>
      <c r="C2">
        <v>47.010869565217391</v>
      </c>
      <c r="D2">
        <v>-0.88416174035516504</v>
      </c>
    </row>
    <row r="3" spans="1:4" x14ac:dyDescent="0.2">
      <c r="A3" t="s">
        <v>63</v>
      </c>
      <c r="B3">
        <v>1296</v>
      </c>
      <c r="C3">
        <v>45.756172839506171</v>
      </c>
      <c r="D3">
        <v>-1.3326698120346501</v>
      </c>
    </row>
    <row r="4" spans="1:4" x14ac:dyDescent="0.2">
      <c r="A4" t="s">
        <v>64</v>
      </c>
      <c r="B4">
        <v>1083</v>
      </c>
      <c r="C4">
        <v>46.352723915050788</v>
      </c>
      <c r="D4">
        <v>-1.06606903679315</v>
      </c>
    </row>
    <row r="5" spans="1:4" x14ac:dyDescent="0.2">
      <c r="A5" t="s">
        <v>65</v>
      </c>
      <c r="B5">
        <v>894</v>
      </c>
      <c r="C5">
        <v>46.532438478747203</v>
      </c>
      <c r="D5">
        <v>-0.96676483497700005</v>
      </c>
    </row>
    <row r="6" spans="1:4" x14ac:dyDescent="0.2">
      <c r="A6" t="s">
        <v>66</v>
      </c>
      <c r="B6">
        <v>743</v>
      </c>
      <c r="C6">
        <v>46.56796769851951</v>
      </c>
      <c r="D6">
        <v>-0.86210012364631006</v>
      </c>
    </row>
    <row r="7" spans="1:4" x14ac:dyDescent="0.2">
      <c r="A7" t="s">
        <v>67</v>
      </c>
      <c r="B7">
        <v>558</v>
      </c>
      <c r="C7">
        <v>46.415770609318997</v>
      </c>
      <c r="D7">
        <v>-0.96676483497700005</v>
      </c>
    </row>
    <row r="8" spans="1:4" x14ac:dyDescent="0.2">
      <c r="A8" t="s">
        <v>68</v>
      </c>
      <c r="B8">
        <v>395</v>
      </c>
      <c r="C8">
        <v>48.860759493670876</v>
      </c>
      <c r="D8">
        <v>-0.14508565187076999</v>
      </c>
    </row>
    <row r="9" spans="1:4" x14ac:dyDescent="0.2">
      <c r="A9" t="s">
        <v>69</v>
      </c>
      <c r="B9">
        <v>249</v>
      </c>
      <c r="C9">
        <v>53.01204819277109</v>
      </c>
      <c r="D9">
        <v>0.66756685165726992</v>
      </c>
    </row>
    <row r="10" spans="1:4" x14ac:dyDescent="0.2">
      <c r="A10" t="s">
        <v>70</v>
      </c>
      <c r="B10">
        <v>147</v>
      </c>
      <c r="C10">
        <v>51.020408163265309</v>
      </c>
      <c r="D10">
        <v>0.44851055022904002</v>
      </c>
    </row>
    <row r="11" spans="1:4" x14ac:dyDescent="0.2">
      <c r="A11" t="s">
        <v>71</v>
      </c>
      <c r="B11">
        <v>48</v>
      </c>
      <c r="C11">
        <v>47.916666666666671</v>
      </c>
      <c r="D11">
        <v>-0.14508565187076999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1"/>
  <sheetViews>
    <sheetView workbookViewId="0"/>
  </sheetViews>
  <sheetFormatPr baseColWidth="10" defaultColWidth="8.83203125" defaultRowHeight="15" x14ac:dyDescent="0.2"/>
  <cols>
    <col min="1" max="1" width="44" customWidth="1"/>
    <col min="2" max="2" width="22" customWidth="1"/>
  </cols>
  <sheetData>
    <row r="1" spans="1:2" x14ac:dyDescent="0.2">
      <c r="A1" s="1" t="s">
        <v>0</v>
      </c>
      <c r="B1" s="1" t="s">
        <v>36</v>
      </c>
    </row>
    <row r="2" spans="1:2" x14ac:dyDescent="0.2">
      <c r="A2" t="s">
        <v>77</v>
      </c>
      <c r="B2">
        <v>3.0760383233428001E-2</v>
      </c>
    </row>
    <row r="3" spans="1:2" x14ac:dyDescent="0.2">
      <c r="A3" t="s">
        <v>78</v>
      </c>
      <c r="B3">
        <v>3.0806133523583409E-2</v>
      </c>
    </row>
    <row r="4" spans="1:2" x14ac:dyDescent="0.2">
      <c r="A4" t="s">
        <v>79</v>
      </c>
      <c r="B4">
        <v>3.119992092251778E-2</v>
      </c>
    </row>
    <row r="5" spans="1:2" x14ac:dyDescent="0.2">
      <c r="A5" t="s">
        <v>80</v>
      </c>
      <c r="B5">
        <v>3.122120164334774E-2</v>
      </c>
    </row>
    <row r="6" spans="1:2" x14ac:dyDescent="0.2">
      <c r="A6" t="s">
        <v>81</v>
      </c>
      <c r="B6">
        <v>3.1226268038153648E-2</v>
      </c>
    </row>
    <row r="7" spans="1:2" x14ac:dyDescent="0.2">
      <c r="A7" t="s">
        <v>82</v>
      </c>
      <c r="B7">
        <v>3.1334266066551208E-2</v>
      </c>
    </row>
    <row r="8" spans="1:2" x14ac:dyDescent="0.2">
      <c r="A8" t="s">
        <v>83</v>
      </c>
      <c r="B8">
        <v>3.2110989093780518E-2</v>
      </c>
    </row>
    <row r="9" spans="1:2" x14ac:dyDescent="0.2">
      <c r="A9" t="s">
        <v>84</v>
      </c>
      <c r="B9">
        <v>3.7880789488554001E-2</v>
      </c>
    </row>
    <row r="10" spans="1:2" x14ac:dyDescent="0.2">
      <c r="A10" t="s">
        <v>85</v>
      </c>
      <c r="B10">
        <v>4.1656684130430222E-2</v>
      </c>
    </row>
    <row r="11" spans="1:2" x14ac:dyDescent="0.2">
      <c r="A11" t="s">
        <v>86</v>
      </c>
      <c r="B11">
        <v>5.0378464162349701E-2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1"/>
  <sheetViews>
    <sheetView workbookViewId="0"/>
  </sheetViews>
  <sheetFormatPr baseColWidth="10" defaultColWidth="8.83203125" defaultRowHeight="15" x14ac:dyDescent="0.2"/>
  <cols>
    <col min="1" max="1" width="44" customWidth="1"/>
    <col min="2" max="2" width="22" customWidth="1"/>
  </cols>
  <sheetData>
    <row r="1" spans="1:2" x14ac:dyDescent="0.2">
      <c r="A1" s="1" t="s">
        <v>0</v>
      </c>
      <c r="B1" s="1" t="s">
        <v>36</v>
      </c>
    </row>
    <row r="2" spans="1:2" x14ac:dyDescent="0.2">
      <c r="A2" t="s">
        <v>77</v>
      </c>
      <c r="B2">
        <v>3.0760383233428001E-2</v>
      </c>
    </row>
    <row r="3" spans="1:2" x14ac:dyDescent="0.2">
      <c r="A3" t="s">
        <v>78</v>
      </c>
      <c r="B3">
        <v>3.0806133523583409E-2</v>
      </c>
    </row>
    <row r="4" spans="1:2" x14ac:dyDescent="0.2">
      <c r="A4" t="s">
        <v>79</v>
      </c>
      <c r="B4">
        <v>3.119992092251778E-2</v>
      </c>
    </row>
    <row r="5" spans="1:2" x14ac:dyDescent="0.2">
      <c r="A5" t="s">
        <v>80</v>
      </c>
      <c r="B5">
        <v>3.122120164334774E-2</v>
      </c>
    </row>
    <row r="6" spans="1:2" x14ac:dyDescent="0.2">
      <c r="A6" t="s">
        <v>81</v>
      </c>
      <c r="B6">
        <v>3.1226268038153648E-2</v>
      </c>
    </row>
    <row r="7" spans="1:2" x14ac:dyDescent="0.2">
      <c r="A7" t="s">
        <v>82</v>
      </c>
      <c r="B7">
        <v>3.1334266066551208E-2</v>
      </c>
    </row>
    <row r="8" spans="1:2" x14ac:dyDescent="0.2">
      <c r="A8" t="s">
        <v>83</v>
      </c>
      <c r="B8">
        <v>3.2110989093780518E-2</v>
      </c>
    </row>
    <row r="9" spans="1:2" x14ac:dyDescent="0.2">
      <c r="A9" t="s">
        <v>84</v>
      </c>
      <c r="B9">
        <v>3.7880789488554001E-2</v>
      </c>
    </row>
    <row r="10" spans="1:2" x14ac:dyDescent="0.2">
      <c r="A10" t="s">
        <v>85</v>
      </c>
      <c r="B10">
        <v>4.1656684130430222E-2</v>
      </c>
    </row>
    <row r="11" spans="1:2" x14ac:dyDescent="0.2">
      <c r="A11" t="s">
        <v>86</v>
      </c>
      <c r="B11">
        <v>5.0378464162349701E-2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S4_TopWorstPoliticians_TopPolit</vt:lpstr>
      <vt:lpstr>S4_TopWorstPoliticians_WorstPol</vt:lpstr>
      <vt:lpstr>S5_PerformanceOverTime_TimeTren</vt:lpstr>
      <vt:lpstr>S6_EDA_DemRep</vt:lpstr>
      <vt:lpstr>S6_EDA_DisclosureDelay</vt:lpstr>
      <vt:lpstr>S6_EDA_IndustryTier</vt:lpstr>
      <vt:lpstr>S7_CommitteeCAR_CommitteeCatego</vt:lpstr>
      <vt:lpstr>S7_CommitteeCAR_StructuralFlags</vt:lpstr>
      <vt:lpstr>S8_ModelAccuracy_ThresholdSweep</vt:lpstr>
      <vt:lpstr>S8_ModelAccuracy_ConfusionMatri</vt:lpstr>
      <vt:lpstr>S9_FeatureImportance_ThresholdC</vt:lpstr>
      <vt:lpstr>S10_Conclusions_FeatureImportan</vt:lpstr>
      <vt:lpstr>S11_ThresholdChart_FeatureImpor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SCARAVELLI Alberto</cp:lastModifiedBy>
  <dcterms:created xsi:type="dcterms:W3CDTF">2026-03-26T16:13:30Z</dcterms:created>
  <dcterms:modified xsi:type="dcterms:W3CDTF">2026-04-02T14:25:52Z</dcterms:modified>
</cp:coreProperties>
</file>